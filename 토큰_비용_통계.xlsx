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00자당 통계" sheetId="1" state="visible" r:id="rId1"/>
    <sheet name="가정·단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5B3A1E"/>
      </patternFill>
    </fill>
    <fill>
      <patternFill patternType="solid">
        <fgColor rgb="00F3E9DC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9" customWidth="1" min="3" max="3"/>
    <col width="7" customWidth="1" min="4" max="4"/>
    <col width="16" customWidth="1" min="5" max="5"/>
    <col width="18" customWidth="1" min="6" max="6"/>
    <col width="12" customWidth="1" min="7" max="7"/>
    <col width="18" customWidth="1" min="8" max="8"/>
    <col width="14" customWidth="1" min="9" max="9"/>
    <col width="12" customWidth="1" min="10" max="10"/>
    <col width="12" customWidth="1" min="11" max="11"/>
    <col width="12" customWidth="1" min="12" max="12"/>
  </cols>
  <sheetData>
    <row r="1" ht="42" customHeight="1">
      <c r="A1" s="1" t="inlineStr">
        <is>
          <t>#</t>
        </is>
      </c>
      <c r="B1" s="1" t="inlineStr">
        <is>
          <t>구간(강)</t>
        </is>
      </c>
      <c r="C1" s="1" t="inlineStr">
        <is>
          <t>글자 수</t>
        </is>
      </c>
      <c r="D1" s="1" t="inlineStr">
        <is>
          <t>줄 수</t>
        </is>
      </c>
      <c r="E1" s="1" t="inlineStr">
        <is>
          <t>정리 작성 출력토큰(추정)</t>
        </is>
      </c>
      <c r="F1" s="1" t="inlineStr">
        <is>
          <t>Notion 타이핑 출력토큰(추정)</t>
        </is>
      </c>
      <c r="G1" s="1" t="inlineStr">
        <is>
          <t>도구 호출 수(추정)</t>
        </is>
      </c>
      <c r="H1" s="1" t="inlineStr">
        <is>
          <t>캐시 읽기 입력토큰(추정)</t>
        </is>
      </c>
      <c r="I1" s="1" t="inlineStr">
        <is>
          <t>신규 입력토큰(추정)</t>
        </is>
      </c>
      <c r="J1" s="1" t="inlineStr">
        <is>
          <t>출력 비용($)</t>
        </is>
      </c>
      <c r="K1" s="1" t="inlineStr">
        <is>
          <t>입력 비용($)</t>
        </is>
      </c>
      <c r="L1" s="1" t="inlineStr">
        <is>
          <t>합계 비용($)</t>
        </is>
      </c>
    </row>
    <row r="2">
      <c r="A2" s="2" t="n">
        <v>1</v>
      </c>
      <c r="B2" s="2" t="inlineStr">
        <is>
          <t>1강. 1세기 — 예루살렘 교회와 사도 시대</t>
        </is>
      </c>
      <c r="C2" s="3" t="n">
        <v>1056</v>
      </c>
      <c r="D2" s="3" t="n">
        <v>20</v>
      </c>
      <c r="E2" s="3" t="n">
        <v>845</v>
      </c>
      <c r="F2" s="3" t="n">
        <v>1352</v>
      </c>
      <c r="G2" s="3" t="n">
        <v>6.7</v>
      </c>
      <c r="H2" s="3" t="n">
        <v>866667</v>
      </c>
      <c r="I2" s="3" t="n">
        <v>10000</v>
      </c>
      <c r="J2" s="4" t="n">
        <v>0.0439</v>
      </c>
      <c r="K2" s="4" t="n">
        <v>0.2233</v>
      </c>
      <c r="L2" s="4" t="n">
        <v>0.2673</v>
      </c>
    </row>
    <row r="3">
      <c r="A3" s="2" t="n">
        <v>2</v>
      </c>
      <c r="B3" s="2" t="inlineStr">
        <is>
          <t>1강. 1세기 — 예루살렘 교회와 사도 시대</t>
        </is>
      </c>
      <c r="C3" s="3" t="n">
        <v>1049</v>
      </c>
      <c r="D3" s="3" t="n">
        <v>18</v>
      </c>
      <c r="E3" s="3" t="n">
        <v>839</v>
      </c>
      <c r="F3" s="3" t="n">
        <v>1343</v>
      </c>
      <c r="G3" s="3" t="n">
        <v>6</v>
      </c>
      <c r="H3" s="3" t="n">
        <v>780000</v>
      </c>
      <c r="I3" s="3" t="n">
        <v>9000</v>
      </c>
      <c r="J3" s="4" t="n">
        <v>0.0436</v>
      </c>
      <c r="K3" s="4" t="n">
        <v>0.201</v>
      </c>
      <c r="L3" s="4" t="n">
        <v>0.2446</v>
      </c>
    </row>
    <row r="4">
      <c r="A4" s="2" t="n">
        <v>3</v>
      </c>
      <c r="B4" s="2" t="inlineStr">
        <is>
          <t>2강. 2–3세기 로마의 박해 — 순교자들의</t>
        </is>
      </c>
      <c r="C4" s="3" t="n">
        <v>1052</v>
      </c>
      <c r="D4" s="3" t="n">
        <v>24</v>
      </c>
      <c r="E4" s="3" t="n">
        <v>842</v>
      </c>
      <c r="F4" s="3" t="n">
        <v>1347</v>
      </c>
      <c r="G4" s="3" t="n">
        <v>8</v>
      </c>
      <c r="H4" s="3" t="n">
        <v>1040000</v>
      </c>
      <c r="I4" s="3" t="n">
        <v>12000</v>
      </c>
      <c r="J4" s="4" t="n">
        <v>0.0438</v>
      </c>
      <c r="K4" s="4" t="n">
        <v>0.268</v>
      </c>
      <c r="L4" s="4" t="n">
        <v>0.3118</v>
      </c>
    </row>
    <row r="5">
      <c r="A5" s="2" t="n">
        <v>4</v>
      </c>
      <c r="B5" s="2" t="inlineStr">
        <is>
          <t>2강. 2–3세기 로마의 박해 — 순교자들의</t>
        </is>
      </c>
      <c r="C5" s="3" t="n">
        <v>1003</v>
      </c>
      <c r="D5" s="3" t="n">
        <v>15</v>
      </c>
      <c r="E5" s="3" t="n">
        <v>802</v>
      </c>
      <c r="F5" s="3" t="n">
        <v>1284</v>
      </c>
      <c r="G5" s="3" t="n">
        <v>5</v>
      </c>
      <c r="H5" s="3" t="n">
        <v>650000</v>
      </c>
      <c r="I5" s="3" t="n">
        <v>7500</v>
      </c>
      <c r="J5" s="4" t="n">
        <v>0.0417</v>
      </c>
      <c r="K5" s="4" t="n">
        <v>0.1675</v>
      </c>
      <c r="L5" s="4" t="n">
        <v>0.2092</v>
      </c>
    </row>
    <row r="6">
      <c r="A6" s="2" t="n">
        <v>5</v>
      </c>
      <c r="B6" s="2" t="inlineStr">
        <is>
          <t>2강. 2–3세기 로마의 박해 — 순교자들의</t>
        </is>
      </c>
      <c r="C6" s="3" t="n">
        <v>1002</v>
      </c>
      <c r="D6" s="3" t="n">
        <v>18</v>
      </c>
      <c r="E6" s="3" t="n">
        <v>802</v>
      </c>
      <c r="F6" s="3" t="n">
        <v>1283</v>
      </c>
      <c r="G6" s="3" t="n">
        <v>6</v>
      </c>
      <c r="H6" s="3" t="n">
        <v>780000</v>
      </c>
      <c r="I6" s="3" t="n">
        <v>9000</v>
      </c>
      <c r="J6" s="4" t="n">
        <v>0.0417</v>
      </c>
      <c r="K6" s="4" t="n">
        <v>0.201</v>
      </c>
      <c r="L6" s="4" t="n">
        <v>0.2427</v>
      </c>
    </row>
    <row r="7">
      <c r="A7" s="2" t="n">
        <v>6</v>
      </c>
      <c r="B7" s="2" t="inlineStr">
        <is>
          <t>2강. 2–3세기 로마의 박해 — 순교자들의</t>
        </is>
      </c>
      <c r="C7" s="3" t="n">
        <v>1063</v>
      </c>
      <c r="D7" s="3" t="n">
        <v>16</v>
      </c>
      <c r="E7" s="3" t="n">
        <v>850</v>
      </c>
      <c r="F7" s="3" t="n">
        <v>1361</v>
      </c>
      <c r="G7" s="3" t="n">
        <v>5.3</v>
      </c>
      <c r="H7" s="3" t="n">
        <v>693333</v>
      </c>
      <c r="I7" s="3" t="n">
        <v>8000</v>
      </c>
      <c r="J7" s="4" t="n">
        <v>0.0442</v>
      </c>
      <c r="K7" s="4" t="n">
        <v>0.1787</v>
      </c>
      <c r="L7" s="4" t="n">
        <v>0.2229</v>
      </c>
    </row>
    <row r="8">
      <c r="A8" s="2" t="n">
        <v>7</v>
      </c>
      <c r="B8" s="2" t="inlineStr">
        <is>
          <t>3강. 2–3세기 변증가와 이단들</t>
        </is>
      </c>
      <c r="C8" s="3" t="n">
        <v>1055</v>
      </c>
      <c r="D8" s="3" t="n">
        <v>17</v>
      </c>
      <c r="E8" s="3" t="n">
        <v>844</v>
      </c>
      <c r="F8" s="3" t="n">
        <v>1350</v>
      </c>
      <c r="G8" s="3" t="n">
        <v>5.7</v>
      </c>
      <c r="H8" s="3" t="n">
        <v>736667</v>
      </c>
      <c r="I8" s="3" t="n">
        <v>8500</v>
      </c>
      <c r="J8" s="4" t="n">
        <v>0.0439</v>
      </c>
      <c r="K8" s="4" t="n">
        <v>0.1898</v>
      </c>
      <c r="L8" s="4" t="n">
        <v>0.2337</v>
      </c>
    </row>
    <row r="9">
      <c r="A9" s="2" t="n">
        <v>8</v>
      </c>
      <c r="B9" s="2" t="inlineStr">
        <is>
          <t>3강. 2–3세기 변증가와 이단들</t>
        </is>
      </c>
      <c r="C9" s="3" t="n">
        <v>1026</v>
      </c>
      <c r="D9" s="3" t="n">
        <v>16</v>
      </c>
      <c r="E9" s="3" t="n">
        <v>821</v>
      </c>
      <c r="F9" s="3" t="n">
        <v>1313</v>
      </c>
      <c r="G9" s="3" t="n">
        <v>5.3</v>
      </c>
      <c r="H9" s="3" t="n">
        <v>693333</v>
      </c>
      <c r="I9" s="3" t="n">
        <v>8000</v>
      </c>
      <c r="J9" s="4" t="n">
        <v>0.0427</v>
      </c>
      <c r="K9" s="4" t="n">
        <v>0.1787</v>
      </c>
      <c r="L9" s="4" t="n">
        <v>0.2213</v>
      </c>
    </row>
    <row r="10">
      <c r="A10" s="2" t="n">
        <v>9</v>
      </c>
      <c r="B10" s="2" t="inlineStr">
        <is>
          <t>3강. 2–3세기 변증가와 이단들</t>
        </is>
      </c>
      <c r="C10" s="3" t="n">
        <v>1045</v>
      </c>
      <c r="D10" s="3" t="n">
        <v>19</v>
      </c>
      <c r="E10" s="3" t="n">
        <v>836</v>
      </c>
      <c r="F10" s="3" t="n">
        <v>1338</v>
      </c>
      <c r="G10" s="3" t="n">
        <v>6.3</v>
      </c>
      <c r="H10" s="3" t="n">
        <v>823333</v>
      </c>
      <c r="I10" s="3" t="n">
        <v>9500</v>
      </c>
      <c r="J10" s="4" t="n">
        <v>0.0435</v>
      </c>
      <c r="K10" s="4" t="n">
        <v>0.2122</v>
      </c>
      <c r="L10" s="4" t="n">
        <v>0.2556</v>
      </c>
    </row>
    <row r="11">
      <c r="A11" s="2" t="n">
        <v>10</v>
      </c>
      <c r="B11" s="2" t="inlineStr">
        <is>
          <t>4강. 2–3세기 초대교회의 발걸음</t>
        </is>
      </c>
      <c r="C11" s="3" t="n">
        <v>1053</v>
      </c>
      <c r="D11" s="3" t="n">
        <v>18</v>
      </c>
      <c r="E11" s="3" t="n">
        <v>842</v>
      </c>
      <c r="F11" s="3" t="n">
        <v>1348</v>
      </c>
      <c r="G11" s="3" t="n">
        <v>6</v>
      </c>
      <c r="H11" s="3" t="n">
        <v>780000</v>
      </c>
      <c r="I11" s="3" t="n">
        <v>9000</v>
      </c>
      <c r="J11" s="4" t="n">
        <v>0.0438</v>
      </c>
      <c r="K11" s="4" t="n">
        <v>0.201</v>
      </c>
      <c r="L11" s="4" t="n">
        <v>0.2448</v>
      </c>
    </row>
    <row r="12">
      <c r="A12" s="2" t="n">
        <v>11</v>
      </c>
      <c r="B12" s="2" t="inlineStr">
        <is>
          <t>4강. 2–3세기 초대교회의 발걸음</t>
        </is>
      </c>
      <c r="C12" s="3" t="n">
        <v>1003</v>
      </c>
      <c r="D12" s="3" t="n">
        <v>17</v>
      </c>
      <c r="E12" s="3" t="n">
        <v>802</v>
      </c>
      <c r="F12" s="3" t="n">
        <v>1284</v>
      </c>
      <c r="G12" s="3" t="n">
        <v>5.7</v>
      </c>
      <c r="H12" s="3" t="n">
        <v>736667</v>
      </c>
      <c r="I12" s="3" t="n">
        <v>8500</v>
      </c>
      <c r="J12" s="4" t="n">
        <v>0.0417</v>
      </c>
      <c r="K12" s="4" t="n">
        <v>0.1898</v>
      </c>
      <c r="L12" s="4" t="n">
        <v>0.2316</v>
      </c>
    </row>
    <row r="13">
      <c r="A13" s="2" t="n">
        <v>12</v>
      </c>
      <c r="B13" s="2" t="inlineStr">
        <is>
          <t>4강. 2–3세기 초대교회의 발걸음</t>
        </is>
      </c>
      <c r="C13" s="3" t="n">
        <v>1001</v>
      </c>
      <c r="D13" s="3" t="n">
        <v>17</v>
      </c>
      <c r="E13" s="3" t="n">
        <v>801</v>
      </c>
      <c r="F13" s="3" t="n">
        <v>1281</v>
      </c>
      <c r="G13" s="3" t="n">
        <v>5.7</v>
      </c>
      <c r="H13" s="3" t="n">
        <v>736667</v>
      </c>
      <c r="I13" s="3" t="n">
        <v>8500</v>
      </c>
      <c r="J13" s="4" t="n">
        <v>0.0416</v>
      </c>
      <c r="K13" s="4" t="n">
        <v>0.1898</v>
      </c>
      <c r="L13" s="4" t="n">
        <v>0.2315</v>
      </c>
    </row>
    <row r="14">
      <c r="A14" s="2" t="n">
        <v>13</v>
      </c>
      <c r="B14" s="2" t="inlineStr">
        <is>
          <t>4강. 2–3세기 초대교회의 발걸음</t>
        </is>
      </c>
      <c r="C14" s="3" t="n">
        <v>1056</v>
      </c>
      <c r="D14" s="3" t="n">
        <v>14</v>
      </c>
      <c r="E14" s="3" t="n">
        <v>845</v>
      </c>
      <c r="F14" s="3" t="n">
        <v>1352</v>
      </c>
      <c r="G14" s="3" t="n">
        <v>4.7</v>
      </c>
      <c r="H14" s="3" t="n">
        <v>606667</v>
      </c>
      <c r="I14" s="3" t="n">
        <v>7000</v>
      </c>
      <c r="J14" s="4" t="n">
        <v>0.0439</v>
      </c>
      <c r="K14" s="4" t="n">
        <v>0.1563</v>
      </c>
      <c r="L14" s="4" t="n">
        <v>0.2003</v>
      </c>
    </row>
    <row r="15">
      <c r="A15" s="2" t="n">
        <v>14</v>
      </c>
      <c r="B15" s="2" t="inlineStr">
        <is>
          <t>4강. 2–3세기 초대교회의 발걸음</t>
        </is>
      </c>
      <c r="C15" s="3" t="n">
        <v>1020</v>
      </c>
      <c r="D15" s="3" t="n">
        <v>20</v>
      </c>
      <c r="E15" s="3" t="n">
        <v>816</v>
      </c>
      <c r="F15" s="3" t="n">
        <v>1306</v>
      </c>
      <c r="G15" s="3" t="n">
        <v>6.7</v>
      </c>
      <c r="H15" s="3" t="n">
        <v>866667</v>
      </c>
      <c r="I15" s="3" t="n">
        <v>10000</v>
      </c>
      <c r="J15" s="4" t="n">
        <v>0.0424</v>
      </c>
      <c r="K15" s="4" t="n">
        <v>0.2233</v>
      </c>
      <c r="L15" s="4" t="n">
        <v>0.2658</v>
      </c>
    </row>
    <row r="16">
      <c r="A16" s="2" t="n">
        <v>15</v>
      </c>
      <c r="B16" s="2" t="inlineStr">
        <is>
          <t>4강. 2–3세기 초대교회의 발걸음</t>
        </is>
      </c>
      <c r="C16" s="3" t="n">
        <v>1025</v>
      </c>
      <c r="D16" s="3" t="n">
        <v>18</v>
      </c>
      <c r="E16" s="3" t="n">
        <v>820</v>
      </c>
      <c r="F16" s="3" t="n">
        <v>1312</v>
      </c>
      <c r="G16" s="3" t="n">
        <v>6</v>
      </c>
      <c r="H16" s="3" t="n">
        <v>780000</v>
      </c>
      <c r="I16" s="3" t="n">
        <v>9000</v>
      </c>
      <c r="J16" s="4" t="n">
        <v>0.0426</v>
      </c>
      <c r="K16" s="4" t="n">
        <v>0.201</v>
      </c>
      <c r="L16" s="4" t="n">
        <v>0.2436</v>
      </c>
    </row>
    <row r="17">
      <c r="A17" s="2" t="n">
        <v>16</v>
      </c>
      <c r="B17" s="2" t="inlineStr">
        <is>
          <t>4강. 2–3세기 초대교회의 발걸음</t>
        </is>
      </c>
      <c r="C17" s="3" t="n">
        <v>1032</v>
      </c>
      <c r="D17" s="3" t="n">
        <v>16</v>
      </c>
      <c r="E17" s="3" t="n">
        <v>826</v>
      </c>
      <c r="F17" s="3" t="n">
        <v>1321</v>
      </c>
      <c r="G17" s="3" t="n">
        <v>5.3</v>
      </c>
      <c r="H17" s="3" t="n">
        <v>693333</v>
      </c>
      <c r="I17" s="3" t="n">
        <v>8000</v>
      </c>
      <c r="J17" s="4" t="n">
        <v>0.0429</v>
      </c>
      <c r="K17" s="4" t="n">
        <v>0.1787</v>
      </c>
      <c r="L17" s="4" t="n">
        <v>0.2216</v>
      </c>
    </row>
    <row r="18">
      <c r="A18" s="2" t="n">
        <v>17</v>
      </c>
      <c r="B18" s="2" t="inlineStr">
        <is>
          <t>4강. 2–3세기 초대교회의 발걸음</t>
        </is>
      </c>
      <c r="C18" s="3" t="n">
        <v>1113</v>
      </c>
      <c r="D18" s="3" t="n">
        <v>14</v>
      </c>
      <c r="E18" s="3" t="n">
        <v>890</v>
      </c>
      <c r="F18" s="3" t="n">
        <v>1425</v>
      </c>
      <c r="G18" s="3" t="n">
        <v>4.7</v>
      </c>
      <c r="H18" s="3" t="n">
        <v>606667</v>
      </c>
      <c r="I18" s="3" t="n">
        <v>7000</v>
      </c>
      <c r="J18" s="4" t="n">
        <v>0.0463</v>
      </c>
      <c r="K18" s="4" t="n">
        <v>0.1563</v>
      </c>
      <c r="L18" s="4" t="n">
        <v>0.2026</v>
      </c>
    </row>
    <row r="19">
      <c r="A19" s="5" t="inlineStr">
        <is>
          <t>합계</t>
        </is>
      </c>
      <c r="B19" s="5" t="inlineStr"/>
      <c r="C19" s="6">
        <f>SUM(C2:C18)</f>
        <v/>
      </c>
      <c r="D19" s="6">
        <f>SUM(D2:D18)</f>
        <v/>
      </c>
      <c r="E19" s="6">
        <f>SUM(E2:E18)</f>
        <v/>
      </c>
      <c r="F19" s="6">
        <f>SUM(F2:F18)</f>
        <v/>
      </c>
      <c r="G19" s="6">
        <f>SUM(G2:G18)</f>
        <v/>
      </c>
      <c r="H19" s="6">
        <f>SUM(H2:H18)</f>
        <v/>
      </c>
      <c r="I19" s="6">
        <f>SUM(I2:I18)</f>
        <v/>
      </c>
      <c r="J19" s="7">
        <f>SUM(J2:J18)</f>
        <v/>
      </c>
      <c r="K19" s="7">
        <f>SUM(K2:K18)</f>
        <v/>
      </c>
      <c r="L19" s="7">
        <f>SUM(L2:L18)</f>
        <v/>
      </c>
    </row>
    <row r="20">
      <c r="A20" s="5" t="inlineStr">
        <is>
          <t>1000자당 평균</t>
        </is>
      </c>
      <c r="B20" s="5" t="inlineStr"/>
      <c r="C20" s="6" t="n">
        <v>1000</v>
      </c>
      <c r="D20" s="6" t="inlineStr"/>
      <c r="E20" s="6">
        <f>E19/C19*1000</f>
        <v/>
      </c>
      <c r="F20" s="6">
        <f>F19/C19*1000</f>
        <v/>
      </c>
      <c r="G20" s="6">
        <f>G19/C19*1000</f>
        <v/>
      </c>
      <c r="H20" s="6">
        <f>H19/C19*1000</f>
        <v/>
      </c>
      <c r="I20" s="6">
        <f>I19/C19*1000</f>
        <v/>
      </c>
      <c r="J20" s="7">
        <f>J19/C19*1000</f>
        <v/>
      </c>
      <c r="K20" s="7">
        <f>K19/C19*1000</f>
        <v/>
      </c>
      <c r="L20" s="7">
        <f>L19/C19*1000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18" customWidth="1" min="1" max="1"/>
    <col width="34" customWidth="1" min="2" max="2"/>
    <col width="90" customWidth="1" min="3" max="3"/>
  </cols>
  <sheetData>
    <row r="1">
      <c r="A1" s="8" t="inlineStr">
        <is>
          <t>항목</t>
        </is>
      </c>
      <c r="B1" s="8" t="inlineStr">
        <is>
          <t>값</t>
        </is>
      </c>
      <c r="C1" s="8" t="inlineStr">
        <is>
          <t>설명</t>
        </is>
      </c>
    </row>
    <row r="2">
      <c r="A2" s="9" t="inlineStr">
        <is>
          <t>모델</t>
        </is>
      </c>
      <c r="B2" s="9" t="inlineStr">
        <is>
          <t>Claude Opus 5.5 (claude-opus-5-5)</t>
        </is>
      </c>
      <c r="C2" s="9" t="inlineStr">
        <is>
          <t>이 세션에서 사용한 모델</t>
        </is>
      </c>
    </row>
    <row r="3">
      <c r="A3" s="9" t="inlineStr">
        <is>
          <t>입력 단가</t>
        </is>
      </c>
      <c r="B3" s="9" t="n">
        <v>4</v>
      </c>
      <c r="C3" s="9" t="inlineStr">
        <is>
          <t>$ / 100만 토큰</t>
        </is>
      </c>
    </row>
    <row r="4">
      <c r="A4" s="9" t="inlineStr">
        <is>
          <t>출력 단가</t>
        </is>
      </c>
      <c r="B4" s="9" t="n">
        <v>20</v>
      </c>
      <c r="C4" s="9" t="inlineStr">
        <is>
          <t>$ / 100만 토큰</t>
        </is>
      </c>
    </row>
    <row r="5">
      <c r="A5" s="9" t="inlineStr">
        <is>
          <t>캐시 읽기 단가</t>
        </is>
      </c>
      <c r="B5" s="9" t="n">
        <v>0.2</v>
      </c>
      <c r="C5" s="9" t="inlineStr">
        <is>
          <t>$ / 100만 토큰</t>
        </is>
      </c>
    </row>
    <row r="6">
      <c r="A6" s="9" t="inlineStr">
        <is>
          <t>캐시 쓰기 단가</t>
        </is>
      </c>
      <c r="B6" s="9" t="n">
        <v>5</v>
      </c>
      <c r="C6" s="9" t="inlineStr">
        <is>
          <t>$ / 100만 토큰 (입력 단가 × 1.25로 가정)</t>
        </is>
      </c>
    </row>
    <row r="7">
      <c r="A7" s="9" t="inlineStr">
        <is>
          <t>글자/토큰 비율</t>
        </is>
      </c>
      <c r="B7" s="9" t="n">
        <v>1.25</v>
      </c>
      <c r="C7" s="9" t="inlineStr">
        <is>
          <t>한국어·영문 혼합 텍스트의 추정치 (정확한 값은 count_tokens API로 측정 가능)</t>
        </is>
      </c>
    </row>
    <row r="8">
      <c r="A8" s="9" t="inlineStr">
        <is>
          <t>평균 컨텍스트</t>
        </is>
      </c>
      <c r="B8" s="9" t="n">
        <v>130000</v>
      </c>
      <c r="C8" s="9" t="inlineStr">
        <is>
          <t>타이핑 단계에서 도구 호출 1회마다 다시 읽는 대화 길이(추정)</t>
        </is>
      </c>
    </row>
    <row r="9">
      <c r="A9" s="9" t="inlineStr">
        <is>
          <t>호출당 신규 입력</t>
        </is>
      </c>
      <c r="B9" s="9" t="n">
        <v>1500</v>
      </c>
      <c r="C9" s="9" t="inlineStr">
        <is>
          <t>도구 결과·스크린샷 등 새로 붙는 입력(추정)</t>
        </is>
      </c>
    </row>
    <row r="10">
      <c r="A10" s="9" t="inlineStr">
        <is>
          <t>호출당 줄 수</t>
        </is>
      </c>
      <c r="B10" s="9" t="n">
        <v>3</v>
      </c>
      <c r="C10" s="9" t="inlineStr">
        <is>
          <t>Notion에 한 번의 도구 호출로 쓴 평균 줄 수(추정)</t>
        </is>
      </c>
    </row>
    <row r="11">
      <c r="A11" s="9" t="inlineStr">
        <is>
          <t>타이핑 출력 배수</t>
        </is>
      </c>
      <c r="B11" s="9" t="n">
        <v>1.6</v>
      </c>
      <c r="C11" s="9" t="inlineStr">
        <is>
          <t>원문을 JS 명령에 다시 담을 때의 코드·이스케이프 부담(추정)</t>
        </is>
      </c>
    </row>
    <row r="12">
      <c r="A12" s="9" t="n"/>
      <c r="B12" s="9" t="n"/>
      <c r="C12" s="9" t="n"/>
    </row>
    <row r="13">
      <c r="A13" s="9" t="inlineStr">
        <is>
          <t>⚠️ 주의</t>
        </is>
      </c>
      <c r="B13" s="9" t="inlineStr"/>
      <c r="C13" s="9" t="inlineStr">
        <is>
          <t>Claude는 요청별 실제 사용량(usage)·청구 내역을 볼 수 없어서, 이 표는 위 가정으로 계산한 추정치입니다. PDF 판독·자료 검증·재시도·오류 수정 과정의 토큰은 포함하지 않았습니다. 정확한 금액은 Claude 사용량 화면(또는 Admin API의 Usage/Cost 보고서)에서 확인하세요.</t>
        </is>
      </c>
    </row>
    <row r="14">
      <c r="A14" s="9" t="inlineStr">
        <is>
          <t>요금제 참고</t>
        </is>
      </c>
      <c r="B14" s="9" t="inlineStr"/>
      <c r="C14" s="9" t="inlineStr">
        <is>
          <t>Claude Pro/Max 등 구독 요금제로 Claude Code를 쓰면 토큰당 과금이 아니므로, 위 금액은 'API 요금으로 환산했을 때'의 참고값입니다.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2026-09-29T06:59:05Z</dcterms:created>
  <dcterms:modified xsi:type="dcterms:W3CDTF">2026-09-29T06:59:05Z</dcterms:modified>
</cp:coreProperties>
</file>